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hee054\Desktop\Bootcamp Data Analyst\Excel\"/>
    </mc:Choice>
  </mc:AlternateContent>
  <xr:revisionPtr revIDLastSave="0" documentId="8_{9A4757BE-3D93-473F-8CD4-3D9E05F286E7}" xr6:coauthVersionLast="47" xr6:coauthVersionMax="47" xr10:uidLastSave="{00000000-0000-0000-0000-000000000000}"/>
  <bookViews>
    <workbookView xWindow="-110" yWindow="-110" windowWidth="19420" windowHeight="10300" firstSheet="1" activeTab="7" xr2:uid="{00000000-000D-0000-FFFF-FFFF00000000}"/>
  </bookViews>
  <sheets>
    <sheet name="Sheet2" sheetId="3" state="hidden" r:id="rId1"/>
    <sheet name="Data" sheetId="1" r:id="rId2"/>
    <sheet name="Pivot 1" sheetId="5" r:id="rId3"/>
    <sheet name="Pivot 2" sheetId="6" r:id="rId4"/>
    <sheet name="Pivot 3" sheetId="8" r:id="rId5"/>
    <sheet name="Pivot 4" sheetId="10" r:id="rId6"/>
    <sheet name="Pivot 5" sheetId="11" r:id="rId7"/>
    <sheet name="Dashboard" sheetId="12" r:id="rId8"/>
  </sheets>
  <definedNames>
    <definedName name="_xlnm._FilterDatabase" localSheetId="1" hidden="1">Data!$A$1:$L$2001</definedName>
  </definedNames>
  <calcPr calcId="191029"/>
  <pivotCaches>
    <pivotCache cacheId="1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<sst xmlns="http://schemas.openxmlformats.org/spreadsheetml/2006/main" count="14074" uniqueCount="2049">
  <si>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</si>
  <si>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</si>
  <si>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</si>
  <si>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</si>
  <si>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</si>
  <si>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</si>
  <si>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</si>
  <si>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</si>
  <si>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</si>
  <si>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</si>
  <si>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</si>
  <si>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</si>
  <si>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</si>
  <si>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</si>
  <si>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</si>
  <si>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</si>
  <si>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</si>
  <si>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</si>
  <si>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</si>
  <si>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</si>
  <si>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</si>
  <si>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</si>
  <si>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</si>
  <si>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</si>
  <si>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</si>
  <si>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</si>
  <si>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</si>
  <si>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</si>
  <si>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</si>
  <si>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</si>
  <si>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</si>
  <si>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</si>
  <si>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</si>
  <si>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</si>
  <si>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</si>
  <si>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</si>
  <si>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</si>
  <si>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</si>
  <si>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</si>
  <si>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</si>
  <si>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</si>
  <si>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</si>
  <si>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</si>
  <si>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</si>
  <si>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</si>
  <si>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</si>
  <si>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</si>
  <si>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</si>
  <si>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</si>
  <si>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</si>
  <si>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</si>
  <si>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</si>
  <si>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</si>
  <si>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</si>
  <si>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</si>
  <si>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</si>
  <si>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</si>
  <si>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</si>
  <si>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</si>
  <si>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</si>
  <si>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</si>
  <si>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</si>
  <si>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</si>
  <si>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</si>
  <si>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</si>
  <si>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</si>
  <si>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</si>
  <si>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</si>
  <si>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</si>
  <si>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</si>
  <si>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</si>
  <si>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</si>
  <si>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</si>
  <si>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</si>
  <si>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</si>
  <si>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</si>
  <si>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</si>
  <si>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</si>
  <si>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</si>
  <si>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</si>
  <si>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</si>
  <si>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</si>
  <si>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</si>
  <si>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</si>
  <si>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</si>
  <si>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</si>
  <si>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</si>
  <si>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</si>
  <si>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</si>
  <si>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</si>
  <si>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</si>
  <si>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</si>
  <si>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</si>
  <si>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</si>
  <si>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</si>
  <si>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</si>
  <si>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</si>
  <si>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</si>
  <si>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</si>
  <si>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</si>
  <si>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</si>
  <si>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</si>
  <si>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</si>
  <si>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</si>
  <si>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</si>
  <si>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</si>
  <si>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</si>
  <si>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</si>
  <si>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</si>
  <si>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</si>
  <si>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</si>
  <si>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</si>
  <si>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</si>
  <si>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</si>
  <si>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</si>
  <si>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</si>
  <si>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</si>
  <si>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</si>
  <si>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</si>
  <si>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</si>
  <si>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</si>
  <si>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</si>
  <si>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</si>
  <si>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</si>
  <si>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</si>
  <si>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</si>
  <si>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</si>
  <si>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</si>
  <si>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</si>
  <si>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</si>
  <si>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</si>
  <si>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</si>
  <si>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</si>
  <si>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</si>
  <si>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</si>
  <si>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</si>
  <si>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</si>
  <si>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</si>
  <si>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</si>
  <si>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</si>
  <si>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</si>
  <si>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</si>
  <si>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</si>
  <si>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</si>
  <si>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</si>
  <si>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</si>
  <si>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</si>
  <si>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</si>
  <si>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</si>
  <si>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</si>
  <si>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</si>
  <si>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</si>
  <si>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</si>
  <si>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</si>
  <si>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</si>
  <si>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</si>
  <si>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</si>
  <si>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</si>
  <si>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</si>
  <si>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</si>
  <si>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</si>
  <si>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</si>
  <si>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</si>
  <si>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</si>
  <si>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</si>
  <si>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</si>
  <si>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</si>
  <si>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</si>
  <si>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</si>
  <si>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</si>
  <si>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</si>
  <si>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</si>
  <si>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</si>
  <si>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</si>
  <si>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</si>
  <si>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</si>
  <si>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</si>
  <si>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</si>
  <si>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</si>
  <si>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</si>
  <si>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</si>
  <si>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</si>
  <si>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</si>
  <si>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</si>
  <si>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</si>
  <si>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</si>
  <si>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</si>
  <si>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</si>
  <si>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</si>
  <si>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</si>
  <si>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</si>
  <si>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</si>
  <si>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</si>
  <si>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</si>
  <si>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</si>
  <si>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</si>
  <si>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</si>
  <si>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</si>
  <si>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</si>
  <si>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</si>
  <si>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</si>
  <si>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</si>
  <si>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</si>
  <si>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</si>
  <si>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</si>
  <si>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</si>
  <si>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</si>
  <si>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</si>
  <si>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</si>
  <si>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</si>
  <si>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</si>
  <si>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</si>
  <si>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</si>
  <si>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</si>
  <si>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</si>
  <si>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</si>
  <si>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</si>
  <si>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</si>
  <si>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</si>
  <si>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</si>
  <si>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</si>
  <si>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</si>
  <si>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</si>
  <si>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</si>
  <si>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</si>
  <si>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</si>
  <si>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</si>
  <si>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</si>
  <si>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</si>
  <si>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</si>
  <si>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</si>
  <si>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</si>
  <si>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</si>
  <si>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</si>
  <si>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</si>
  <si>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</si>
  <si>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</si>
  <si>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</si>
  <si>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</si>
  <si>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</si>
  <si>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</si>
  <si>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</si>
  <si>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</si>
  <si>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</si>
  <si>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</si>
  <si>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</si>
  <si>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</si>
  <si>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</si>
  <si>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</si>
  <si>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</si>
  <si>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</si>
  <si>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</si>
  <si>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</si>
  <si>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</si>
  <si>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</si>
  <si>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</si>
  <si>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</si>
  <si>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</si>
  <si>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</si>
  <si>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</si>
  <si>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</si>
  <si>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</si>
  <si>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</si>
  <si>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</si>
  <si>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</si>
  <si>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</si>
  <si>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</si>
  <si>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</si>
  <si>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</si>
  <si>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</si>
  <si>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</si>
  <si>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</si>
  <si>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</si>
  <si>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</si>
  <si>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</si>
  <si>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</si>
  <si>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</si>
  <si>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</si>
  <si>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</si>
  <si>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</si>
  <si>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</si>
  <si>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</si>
  <si>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</si>
  <si>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</si>
  <si>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</si>
  <si>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</si>
  <si>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</si>
  <si>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</si>
  <si>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</si>
  <si>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</si>
  <si>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</si>
  <si>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</si>
  <si>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</si>
  <si>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</si>
  <si>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</si>
  <si>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</si>
  <si>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</si>
  <si>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</si>
  <si>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</si>
  <si>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</si>
  <si>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</si>
  <si>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</si>
  <si>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</si>
  <si>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</si>
  <si>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</si>
  <si>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</si>
  <si>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</si>
  <si>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</si>
  <si>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</si>
  <si>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</si>
  <si>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</si>
  <si>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</si>
  <si>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</si>
  <si>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</si>
  <si>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</si>
  <si>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</si>
  <si>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</si>
  <si>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</si>
  <si>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</si>
  <si>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</si>
  <si>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</si>
  <si>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</si>
  <si>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</si>
  <si>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</si>
  <si>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</si>
  <si>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</si>
  <si>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</si>
  <si>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</si>
  <si>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</si>
  <si>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</si>
  <si>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</si>
  <si>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</si>
  <si>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</si>
  <si>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</si>
  <si>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</si>
  <si>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</si>
  <si>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</si>
  <si>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</si>
  <si>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</si>
  <si>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</si>
  <si>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</si>
  <si>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</si>
  <si>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</si>
  <si>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</si>
  <si>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</si>
  <si>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</si>
  <si>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</si>
  <si>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</si>
  <si>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</si>
  <si>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</si>
  <si>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</si>
  <si>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</si>
  <si>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</si>
  <si>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</si>
  <si>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</si>
  <si>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</si>
  <si>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</si>
  <si>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</si>
  <si>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</si>
  <si>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</si>
  <si>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</si>
  <si>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</si>
  <si>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</si>
  <si>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</si>
  <si>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</si>
  <si>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</si>
  <si>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</si>
  <si>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</si>
  <si>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</si>
  <si>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</si>
  <si>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</si>
  <si>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</si>
  <si>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</si>
  <si>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</si>
  <si>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</si>
  <si>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</si>
  <si>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</si>
  <si>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</si>
  <si>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</si>
  <si>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</si>
  <si>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</si>
  <si>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</si>
  <si>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</si>
  <si>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</si>
  <si>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</si>
  <si>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</si>
  <si>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</si>
  <si>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</si>
  <si>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</si>
  <si>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</si>
  <si>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</si>
  <si>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</si>
  <si>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</si>
  <si>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</si>
  <si>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</si>
  <si>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</si>
  <si>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</si>
  <si>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</si>
  <si>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</si>
  <si>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</si>
  <si>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</si>
  <si>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</si>
  <si>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</si>
  <si>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</si>
  <si>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</si>
  <si>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</si>
  <si>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</si>
  <si>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</si>
  <si>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</si>
  <si>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</si>
  <si>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</si>
  <si>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</si>
  <si>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</si>
  <si>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</si>
  <si>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</si>
  <si>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</si>
  <si>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</si>
  <si>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</si>
  <si>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</si>
  <si>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</si>
  <si>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</si>
  <si>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</si>
  <si>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</si>
  <si>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</si>
  <si>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</si>
  <si>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</si>
  <si>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</si>
  <si>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</si>
  <si>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</si>
  <si>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</si>
  <si>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</si>
  <si>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</si>
  <si>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</si>
  <si>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</si>
  <si>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</si>
  <si>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</si>
  <si>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</si>
  <si>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</si>
  <si>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</si>
  <si>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</si>
  <si>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</si>
  <si>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</si>
  <si>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</si>
  <si>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</si>
  <si>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</si>
  <si>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</si>
  <si>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</si>
  <si>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</si>
  <si>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</si>
  <si>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</si>
  <si>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</si>
  <si>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</si>
  <si>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</si>
  <si>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</si>
  <si>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</si>
  <si>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</si>
  <si>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</si>
  <si>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</si>
  <si>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</si>
  <si>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</si>
  <si>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</si>
  <si>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</si>
  <si>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</si>
  <si>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</si>
  <si>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</si>
  <si>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</si>
  <si>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</si>
  <si>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</si>
  <si>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</si>
  <si>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</si>
  <si>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</si>
  <si>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</si>
  <si>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</si>
  <si>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</si>
  <si>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</si>
  <si>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</si>
  <si>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</si>
  <si>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</si>
  <si>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</si>
  <si>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</si>
  <si>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</si>
  <si>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</si>
  <si>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</si>
  <si>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</si>
  <si>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</si>
  <si>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</si>
  <si>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</si>
  <si>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</si>
  <si>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</si>
  <si>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</si>
  <si>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</si>
  <si>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</si>
  <si>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</si>
  <si>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</si>
  <si>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</si>
  <si>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</si>
  <si>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</si>
  <si>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</si>
  <si>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</si>
  <si>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</si>
  <si>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</si>
  <si>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</si>
  <si>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</si>
  <si>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</si>
  <si>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</si>
  <si>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</si>
  <si>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</si>
  <si>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</si>
  <si>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</si>
  <si>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</si>
  <si>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</si>
  <si>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</si>
  <si>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</si>
  <si>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</si>
  <si>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</si>
  <si>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</si>
  <si>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</si>
  <si>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</si>
  <si>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</si>
  <si>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</si>
  <si>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</si>
  <si>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</si>
  <si>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</si>
  <si>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</si>
  <si>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</si>
  <si>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</si>
  <si>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</si>
  <si>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</si>
  <si>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</si>
  <si>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</si>
  <si>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</si>
  <si>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</si>
  <si>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</si>
  <si>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</si>
  <si>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</si>
  <si>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</si>
  <si>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</si>
  <si>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</si>
  <si>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</si>
  <si>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</si>
  <si>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</si>
  <si>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</si>
  <si>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</si>
  <si>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</si>
  <si>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</si>
  <si>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</si>
  <si>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</si>
  <si>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</si>
  <si>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</si>
  <si>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</si>
  <si>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</si>
  <si>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</si>
  <si>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</si>
  <si>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</si>
  <si>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</si>
  <si>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</si>
  <si>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</si>
  <si>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</si>
  <si>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</si>
  <si>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</si>
  <si>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</si>
  <si>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</si>
  <si>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</si>
  <si>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</si>
  <si>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</si>
  <si>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</si>
  <si>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</si>
  <si>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</si>
  <si>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</si>
  <si>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</si>
  <si>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</si>
  <si>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</si>
  <si>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</si>
  <si>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</si>
  <si>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</si>
  <si>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</si>
  <si>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</si>
  <si>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</si>
  <si>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</si>
  <si>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</si>
  <si>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</si>
  <si>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</si>
  <si>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</si>
  <si>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</si>
  <si>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</si>
  <si>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</si>
  <si>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</si>
  <si>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</si>
  <si>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</si>
  <si>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</si>
  <si>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</si>
  <si>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</si>
  <si>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</si>
  <si>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</si>
  <si>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</si>
  <si>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</si>
  <si>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</si>
  <si>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</si>
  <si>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</si>
  <si>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</si>
  <si>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</si>
  <si>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</si>
  <si>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</si>
  <si>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</si>
  <si>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</si>
  <si>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</si>
  <si>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</si>
  <si>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</si>
  <si>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</si>
  <si>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</si>
  <si>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</si>
  <si>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</si>
  <si>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</si>
  <si>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</si>
  <si>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</si>
  <si>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</si>
  <si>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</si>
  <si>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</si>
  <si>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</si>
  <si>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</si>
  <si>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</si>
  <si>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</si>
  <si>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</si>
  <si>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</si>
  <si>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</si>
  <si>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</si>
  <si>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</si>
  <si>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</si>
  <si>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</si>
  <si>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</si>
  <si>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</si>
  <si>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</si>
  <si>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</si>
  <si>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</si>
  <si>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</si>
  <si>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</si>
  <si>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</si>
  <si>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</si>
  <si>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</si>
  <si>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</si>
  <si>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</si>
  <si>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</si>
  <si>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</si>
  <si>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</si>
  <si>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</si>
  <si>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</si>
  <si>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</si>
  <si>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</si>
  <si>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</si>
  <si>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</si>
  <si>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</si>
  <si>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</si>
  <si>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</si>
  <si>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</si>
  <si>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</si>
  <si>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</si>
  <si>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</si>
  <si>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</si>
  <si>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</si>
  <si>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</si>
  <si>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</si>
  <si>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</si>
  <si>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</si>
  <si>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</si>
  <si>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</si>
  <si>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</si>
  <si>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</si>
  <si>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</si>
  <si>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</si>
  <si>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</si>
  <si>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</si>
  <si>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</si>
  <si>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</si>
  <si>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</si>
  <si>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</si>
  <si>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</si>
  <si>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</si>
  <si>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</si>
  <si>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</si>
  <si>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</si>
  <si>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</si>
  <si>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</si>
  <si>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</si>
  <si>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</si>
  <si>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</si>
  <si>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</si>
  <si>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</si>
  <si>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</si>
  <si>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</si>
  <si>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</si>
  <si>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</si>
  <si>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</si>
  <si>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</si>
  <si>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</si>
  <si>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</si>
  <si>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</si>
  <si>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</si>
  <si>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</si>
  <si>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</si>
  <si>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</si>
  <si>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</si>
  <si>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</si>
  <si>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</si>
  <si>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</si>
  <si>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</si>
  <si>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</si>
  <si>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</si>
  <si>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</si>
  <si>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</si>
  <si>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</si>
  <si>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</si>
  <si>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</si>
  <si>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</si>
  <si>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</si>
  <si>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</si>
  <si>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</si>
  <si>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</si>
  <si>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</si>
  <si>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</si>
  <si>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</si>
  <si>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</si>
  <si>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</si>
  <si>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</si>
  <si>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</si>
  <si>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</si>
  <si>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</si>
  <si>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</si>
  <si>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</si>
  <si>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</si>
  <si>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</si>
  <si>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</si>
  <si>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</si>
  <si>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</si>
  <si>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</si>
  <si>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</si>
  <si>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</si>
  <si>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</si>
  <si>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</si>
  <si>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</si>
  <si>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</si>
  <si>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</si>
  <si>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</si>
  <si>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</si>
  <si>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</si>
  <si>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</si>
  <si>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</si>
  <si>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</si>
  <si>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</si>
  <si>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</si>
  <si>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</si>
  <si>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</si>
  <si>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</si>
  <si>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</si>
  <si>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</si>
  <si>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</si>
  <si>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</si>
  <si>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</si>
  <si>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</si>
  <si>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</si>
  <si>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</si>
  <si>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</si>
  <si>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</si>
  <si>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</si>
  <si>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</si>
  <si>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</si>
  <si>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</si>
  <si>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</si>
  <si>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</si>
  <si>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</si>
  <si>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</si>
  <si>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</si>
  <si>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</si>
  <si>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</si>
  <si>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</si>
  <si>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</si>
  <si>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</si>
  <si>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</si>
  <si>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</si>
  <si>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</si>
  <si>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</si>
  <si>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</si>
  <si>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</si>
  <si>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</si>
  <si>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</si>
  <si>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</si>
  <si>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</si>
  <si>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</si>
  <si>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</si>
  <si>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</si>
  <si>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</si>
  <si>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</si>
  <si>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</si>
  <si>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</si>
  <si>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</si>
  <si>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</si>
  <si>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</si>
  <si>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</si>
  <si>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</si>
  <si>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</si>
  <si>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</si>
  <si>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</si>
  <si>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</si>
  <si>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</si>
  <si>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</si>
  <si>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</si>
  <si>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</si>
  <si>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</si>
  <si>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</si>
  <si>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</si>
  <si>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</si>
  <si>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</si>
  <si>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</si>
  <si>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</si>
  <si>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</si>
  <si>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</si>
  <si>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</si>
  <si>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</si>
  <si>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</si>
  <si>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</si>
  <si>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</si>
  <si>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</si>
  <si>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</si>
  <si>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</si>
  <si>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</si>
  <si>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</si>
  <si>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</si>
  <si>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</si>
  <si>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</si>
  <si>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</si>
  <si>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</si>
  <si>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</si>
  <si>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</si>
  <si>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</si>
  <si>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</si>
  <si>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</si>
  <si>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</si>
  <si>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</si>
  <si>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</si>
  <si>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</si>
  <si>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</si>
  <si>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</si>
  <si>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</si>
  <si>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</si>
  <si>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</si>
  <si>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</si>
  <si>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</si>
  <si>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</si>
  <si>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</si>
  <si>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</si>
  <si>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</si>
  <si>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</si>
  <si>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</si>
  <si>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</si>
  <si>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</si>
  <si>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</si>
  <si>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</si>
  <si>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</si>
  <si>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</si>
  <si>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</si>
  <si>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</si>
  <si>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</si>
  <si>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</si>
  <si>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</si>
  <si>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</si>
  <si>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</si>
  <si>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</si>
  <si>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</si>
  <si>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</si>
  <si>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</si>
  <si>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</si>
  <si>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</si>
  <si>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</si>
  <si>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</si>
  <si>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</si>
  <si>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</si>
  <si>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</si>
  <si>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</si>
  <si>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</si>
  <si>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</si>
  <si>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</si>
  <si>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</si>
  <si>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</si>
  <si>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</si>
  <si>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</si>
  <si>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</si>
  <si>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</si>
  <si>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</si>
  <si>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</si>
  <si>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</si>
  <si>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</si>
  <si>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</si>
  <si>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</si>
  <si>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</si>
  <si>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</si>
  <si>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</si>
  <si>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</si>
  <si>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</si>
  <si>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</si>
  <si>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</si>
  <si>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</si>
  <si>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</si>
  <si>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</si>
  <si>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</si>
  <si>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</si>
  <si>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</si>
  <si>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</si>
  <si>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</si>
  <si>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</si>
  <si>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</si>
  <si>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</si>
  <si>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</si>
  <si>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</si>
  <si>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</si>
  <si>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</si>
  <si>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</si>
  <si>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</si>
  <si>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</si>
  <si>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</si>
  <si>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</si>
  <si>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</si>
  <si>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</si>
  <si>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</si>
  <si>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</si>
  <si>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</si>
  <si>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</si>
  <si>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</si>
  <si>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</si>
  <si>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</si>
  <si>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</si>
  <si>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</si>
  <si>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</si>
  <si>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</si>
  <si>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</si>
  <si>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</si>
  <si>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</si>
  <si>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</si>
  <si>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</si>
  <si>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</si>
  <si>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</si>
  <si>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</si>
  <si>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</si>
  <si>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</si>
  <si>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</si>
  <si>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</si>
  <si>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</si>
  <si>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</si>
  <si>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</si>
  <si>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</si>
  <si>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</si>
  <si>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</si>
  <si>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</si>
  <si>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</si>
  <si>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</si>
  <si>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</si>
  <si>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</si>
  <si>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</si>
  <si>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</si>
  <si>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</si>
  <si>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</si>
  <si>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</si>
  <si>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</si>
  <si>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</si>
  <si>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</si>
  <si>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</si>
  <si>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</si>
  <si>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</si>
  <si>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</si>
  <si>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</si>
  <si>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</si>
  <si>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</si>
  <si>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</si>
  <si>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</si>
  <si>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</si>
  <si>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</si>
  <si>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</si>
  <si>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</si>
  <si>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</si>
  <si>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</si>
  <si>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</si>
  <si>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</si>
  <si>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</si>
  <si>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</si>
  <si>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</si>
  <si>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</si>
  <si>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</si>
  <si>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</si>
  <si>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</si>
  <si>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</si>
  <si>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</si>
  <si>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</si>
  <si>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</si>
  <si>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</si>
  <si>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</si>
  <si>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</si>
  <si>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</si>
  <si>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</si>
  <si>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</si>
  <si>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</si>
  <si>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</si>
  <si>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</si>
  <si>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</si>
  <si>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</si>
  <si>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</si>
  <si>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</si>
  <si>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</si>
  <si>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</si>
  <si>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</si>
  <si>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</si>
  <si>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</si>
  <si>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</si>
  <si>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</si>
  <si>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</si>
  <si>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</si>
  <si>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</si>
  <si>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</si>
  <si>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</si>
  <si>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</si>
  <si>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</si>
  <si>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</si>
  <si>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</si>
  <si>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</si>
  <si>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</si>
  <si>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</si>
  <si>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</si>
  <si>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</si>
  <si>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</si>
  <si>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</si>
  <si>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</si>
  <si>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</si>
  <si>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</si>
  <si>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</si>
  <si>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</si>
  <si>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</si>
  <si>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</si>
  <si>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</si>
  <si>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</si>
  <si>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</si>
  <si>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</si>
  <si>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</si>
  <si>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</si>
  <si>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</si>
  <si>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</si>
  <si>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</si>
  <si>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</si>
  <si>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</si>
  <si>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</si>
  <si>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</si>
  <si>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</si>
  <si>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</si>
  <si>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</si>
  <si>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</si>
  <si>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</si>
  <si>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</si>
  <si>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</si>
  <si>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</si>
  <si>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</si>
  <si>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</si>
  <si>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</si>
  <si>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</si>
  <si>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</si>
  <si>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</si>
  <si>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</si>
  <si>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</si>
  <si>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</si>
  <si>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</si>
  <si>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</si>
  <si>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</si>
  <si>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</si>
  <si>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</si>
  <si>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</si>
  <si>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</si>
  <si>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</si>
  <si>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</si>
  <si>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</si>
  <si>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</si>
  <si>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</si>
  <si>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</si>
  <si>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</si>
  <si>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</si>
  <si>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</si>
  <si>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</si>
  <si>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</si>
  <si>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</si>
  <si>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</si>
  <si>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</si>
  <si>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</si>
  <si>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</si>
  <si>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</si>
  <si>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</si>
  <si>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</si>
  <si>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</si>
  <si>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</si>
  <si>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</si>
  <si>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</si>
  <si>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</si>
  <si>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</si>
  <si>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</si>
  <si>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</si>
  <si>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</si>
  <si>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</si>
  <si>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</si>
  <si>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</si>
  <si>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</si>
  <si>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</si>
  <si>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</si>
  <si>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</si>
  <si>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</si>
  <si>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</si>
  <si>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</si>
  <si>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</si>
  <si>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</si>
  <si>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</si>
  <si>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</si>
  <si>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</si>
  <si>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</si>
  <si>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</si>
  <si>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</si>
  <si>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</si>
  <si>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</si>
  <si>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</si>
  <si>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</si>
  <si>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</si>
  <si>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</si>
  <si>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</si>
  <si>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</si>
  <si>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</si>
  <si>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</si>
  <si>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</si>
  <si>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</si>
  <si>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</si>
  <si>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</si>
  <si>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</si>
  <si>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</si>
  <si>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</si>
  <si>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</si>
  <si>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</si>
  <si>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</si>
  <si>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</si>
  <si>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</si>
  <si>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</si>
  <si>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</si>
  <si>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</si>
  <si>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</si>
  <si>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</si>
  <si>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</si>
  <si>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</si>
  <si>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</si>
  <si>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</si>
  <si>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</si>
  <si>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</si>
  <si>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</si>
  <si>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</si>
  <si>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</si>
  <si>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</si>
  <si>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</si>
  <si>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</si>
  <si>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</si>
  <si>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</si>
  <si>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</si>
  <si>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</si>
  <si>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</si>
  <si>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</si>
  <si>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</si>
  <si>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</si>
  <si>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</si>
  <si>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</si>
  <si>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</si>
  <si>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</si>
  <si>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</si>
  <si>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</si>
  <si>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</si>
  <si>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</si>
  <si>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</si>
  <si>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</si>
  <si>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</si>
  <si>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</si>
  <si>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</si>
  <si>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</si>
  <si>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</si>
  <si>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</si>
  <si>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</si>
  <si>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</si>
  <si>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</si>
  <si>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</si>
  <si>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</si>
  <si>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</si>
  <si>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</si>
  <si>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</si>
  <si>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</si>
  <si>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</si>
  <si>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</si>
  <si>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</si>
  <si>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</si>
  <si>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</si>
  <si>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</si>
  <si>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</si>
  <si>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</si>
  <si>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</si>
  <si>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</si>
  <si>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</si>
  <si>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</si>
  <si>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</si>
  <si>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</si>
  <si>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</si>
  <si>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</si>
  <si>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</si>
  <si>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</si>
  <si>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</si>
  <si>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</si>
  <si>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</si>
  <si>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</si>
  <si>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</si>
  <si>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</si>
  <si>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</si>
  <si>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</si>
  <si>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</si>
  <si>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</si>
  <si>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</si>
  <si>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</si>
  <si>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</si>
  <si>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</si>
  <si>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</si>
  <si>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</si>
  <si>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</si>
  <si>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</si>
  <si>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</si>
  <si>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</si>
  <si>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</si>
  <si>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</si>
  <si>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</si>
  <si>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</si>
  <si>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</si>
  <si>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</si>
  <si>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</si>
  <si>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</si>
  <si>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</si>
  <si>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</si>
  <si>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</si>
  <si>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</si>
  <si>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</si>
  <si>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</si>
  <si>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</si>
  <si>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</si>
  <si>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</si>
  <si>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</si>
  <si>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</si>
  <si>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</si>
  <si>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</si>
  <si>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</si>
  <si>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</si>
  <si>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</si>
  <si>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</si>
  <si>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</si>
  <si>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</si>
  <si>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</si>
  <si>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</si>
  <si>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</si>
  <si>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</si>
  <si>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</si>
  <si>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</si>
  <si>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</si>
  <si>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</si>
  <si>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</si>
  <si>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</si>
  <si>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</si>
  <si>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</si>
  <si>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</si>
  <si>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</si>
  <si>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</si>
  <si>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</si>
  <si>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</si>
  <si>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</si>
  <si>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</si>
  <si>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</si>
  <si>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</si>
  <si>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</si>
  <si>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</si>
  <si>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</si>
  <si>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</si>
  <si>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</si>
  <si>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</si>
  <si>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</si>
  <si>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</si>
  <si>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</si>
  <si>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</si>
  <si>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</si>
  <si>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</si>
  <si>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</si>
  <si>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</si>
  <si>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</si>
  <si>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</si>
  <si>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</si>
  <si>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</si>
  <si>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</si>
  <si>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</si>
  <si>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</si>
  <si>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</si>
  <si>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</si>
  <si>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</si>
  <si>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</si>
  <si>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</si>
  <si>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</si>
  <si>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</si>
  <si>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</si>
  <si>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</si>
  <si>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</si>
  <si>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</si>
  <si>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</si>
  <si>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</si>
  <si>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</si>
  <si>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</si>
  <si>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</si>
  <si>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</si>
  <si>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</si>
  <si>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</si>
  <si>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</si>
  <si>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</si>
  <si>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</si>
  <si>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</si>
  <si>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</si>
  <si>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</si>
  <si>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</si>
  <si>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</si>
  <si>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</si>
  <si>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</si>
  <si>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</si>
  <si>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</si>
  <si>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</si>
  <si>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</si>
  <si>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</si>
  <si>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</si>
  <si>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</si>
  <si>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</si>
  <si>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</si>
  <si>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</si>
  <si>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</si>
  <si>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</si>
  <si>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</si>
  <si>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</si>
  <si>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</si>
  <si>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</si>
  <si>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</si>
  <si>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</si>
  <si>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</si>
  <si>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</si>
  <si>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</si>
  <si>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</si>
  <si>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</si>
  <si>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</si>
  <si>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</si>
  <si>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</si>
  <si>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</si>
  <si>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</si>
  <si>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</si>
  <si>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</si>
  <si>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</si>
  <si>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</si>
  <si>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</si>
  <si>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</si>
  <si>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</si>
  <si>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</si>
  <si>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</si>
  <si>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</si>
  <si>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</si>
  <si>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</si>
  <si>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</si>
  <si>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</si>
  <si>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</si>
  <si>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</si>
  <si>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</si>
  <si>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</si>
  <si>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</si>
  <si>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</si>
  <si>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</si>
  <si>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</si>
  <si>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</si>
  <si>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</si>
  <si>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</si>
  <si>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</si>
  <si>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</si>
  <si>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</si>
  <si>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</si>
  <si>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</si>
  <si>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</si>
  <si>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</si>
  <si>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</si>
  <si>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</si>
  <si>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</si>
  <si>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</si>
  <si>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</si>
  <si>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</si>
  <si>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</si>
  <si>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</si>
  <si>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</si>
  <si>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</si>
  <si>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</si>
  <si>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</si>
  <si>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</si>
  <si>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</si>
  <si>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</si>
  <si>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</si>
  <si>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</si>
  <si>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</si>
  <si>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</si>
  <si>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</si>
  <si>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</si>
  <si>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</si>
  <si>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</si>
  <si>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</si>
  <si>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</si>
  <si>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</si>
  <si>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</si>
  <si>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</si>
  <si>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</si>
  <si>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</si>
  <si>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</si>
  <si>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</si>
  <si>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</si>
  <si>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</si>
  <si>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</si>
  <si>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</si>
  <si>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</si>
  <si>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</si>
  <si>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</si>
  <si>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</si>
  <si>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</si>
  <si>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</si>
  <si>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</si>
  <si>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</si>
  <si>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</si>
  <si>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</si>
  <si>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</si>
  <si>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</si>
  <si>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</si>
  <si>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</si>
  <si>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</si>
  <si>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</si>
  <si>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</si>
  <si>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</si>
  <si>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</si>
  <si>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</si>
  <si>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</si>
  <si>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</si>
  <si>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</si>
  <si>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</si>
  <si>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</si>
  <si>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</si>
  <si>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</si>
  <si>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</si>
  <si>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</si>
  <si>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</si>
  <si>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</si>
  <si>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</si>
  <si>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</si>
  <si>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</si>
  <si>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</si>
  <si>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</si>
  <si>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</si>
  <si>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</si>
  <si>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</si>
  <si>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</si>
  <si>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</si>
  <si>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</si>
  <si>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</si>
  <si>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</si>
  <si>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</si>
  <si>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</si>
  <si>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</si>
  <si>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</si>
  <si>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</si>
  <si>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</si>
  <si>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</si>
  <si>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</si>
  <si>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</si>
  <si>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</si>
  <si>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</si>
  <si>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</si>
  <si>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</si>
  <si>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</si>
  <si>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</si>
  <si>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</si>
  <si>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</si>
  <si>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</si>
  <si>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</si>
  <si>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</si>
  <si>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</si>
  <si>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</si>
  <si>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</si>
  <si>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</si>
  <si>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</si>
  <si>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</si>
  <si>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</si>
  <si>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</si>
  <si>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</si>
  <si>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</si>
  <si>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</si>
  <si>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</si>
  <si>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</si>
  <si>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</si>
  <si>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</si>
  <si>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</si>
  <si>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</si>
  <si>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</si>
  <si>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</si>
  <si>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</si>
  <si>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</si>
  <si>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</si>
  <si>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</si>
  <si>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</si>
  <si>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</si>
  <si>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</si>
  <si>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</si>
  <si>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</si>
  <si>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</si>
  <si>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</si>
  <si>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</si>
  <si>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</si>
  <si>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</si>
  <si>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</si>
  <si>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</si>
  <si>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</si>
  <si>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</si>
  <si>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</si>
  <si>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</si>
  <si>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</si>
  <si>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</si>
  <si>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</si>
  <si>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</si>
  <si>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</si>
  <si>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</si>
  <si>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</si>
  <si>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</si>
  <si>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</si>
  <si>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</si>
  <si>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</si>
  <si>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</si>
  <si>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</si>
  <si>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</si>
  <si>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</si>
  <si>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</si>
  <si>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</si>
  <si>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</si>
  <si>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</si>
  <si>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</si>
  <si>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</si>
  <si>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</si>
  <si>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</si>
  <si>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</si>
  <si>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</si>
  <si>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</si>
  <si>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</si>
  <si>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</si>
  <si>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</si>
  <si>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</si>
  <si>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</si>
  <si>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</si>
  <si>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</si>
  <si>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</si>
  <si>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</si>
  <si>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</si>
  <si>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</si>
  <si>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</si>
  <si>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</si>
  <si>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</si>
  <si>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</si>
  <si>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</si>
  <si>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</si>
  <si>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</si>
  <si>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</si>
  <si>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</si>
  <si>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</si>
  <si>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</si>
  <si>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</si>
  <si>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</si>
  <si>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</si>
  <si>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</si>
  <si>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</si>
  <si>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</si>
  <si>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</si>
  <si>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</si>
  <si>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</si>
  <si>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</si>
  <si>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</si>
  <si>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</si>
  <si>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</si>
  <si>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</si>
  <si>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</si>
  <si>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</si>
  <si>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</si>
  <si>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</si>
  <si>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</si>
  <si>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</si>
  <si>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</si>
  <si>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</si>
  <si>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</si>
  <si>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</si>
  <si>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</si>
  <si>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</si>
  <si>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</si>
  <si>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</si>
  <si>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</si>
  <si>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</si>
  <si>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</si>
  <si>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</si>
  <si>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</si>
  <si>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</si>
  <si>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</si>
  <si>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</si>
  <si>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</si>
  <si>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</si>
  <si>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</si>
  <si>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</si>
  <si>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</si>
  <si>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</si>
  <si>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</si>
  <si>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</si>
  <si>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</si>
  <si>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</si>
  <si>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</si>
  <si>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</si>
  <si>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</si>
  <si>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</si>
  <si>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</si>
  <si>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</si>
  <si>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</si>
  <si>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</si>
  <si>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</si>
  <si>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</si>
  <si>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</si>
  <si>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</si>
  <si>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</si>
  <si>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</si>
  <si>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</si>
  <si>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</si>
  <si>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</si>
  <si>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</si>
  <si>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</si>
  <si>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</si>
  <si>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</si>
  <si>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</si>
  <si>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</si>
  <si>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</si>
  <si>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</si>
  <si>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</si>
  <si>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</si>
  <si>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</si>
  <si>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</si>
  <si>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</si>
  <si>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</si>
  <si>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</si>
  <si>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</si>
  <si>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</si>
  <si>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</si>
  <si>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</si>
  <si>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</si>
  <si>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</si>
  <si>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</si>
  <si>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</si>
  <si>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</si>
  <si>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</si>
  <si>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</si>
  <si>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</si>
  <si>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</si>
  <si>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</si>
  <si>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</si>
  <si>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</si>
  <si>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</si>
  <si>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</si>
  <si>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</si>
  <si>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</si>
  <si>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</si>
  <si>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</si>
  <si>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</si>
  <si>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</si>
  <si>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</si>
  <si>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</si>
  <si>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</si>
  <si>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</si>
  <si>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</si>
  <si>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</si>
  <si>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</si>
  <si>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</si>
  <si>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</si>
  <si>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</si>
  <si>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</si>
  <si>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</si>
  <si>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</si>
  <si>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</si>
  <si>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</si>
  <si>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</si>
  <si>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</si>
  <si>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</si>
  <si>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</si>
  <si>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</si>
  <si>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</si>
  <si>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</si>
  <si>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</si>
  <si>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</si>
  <si>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</si>
  <si>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</si>
  <si>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</si>
  <si>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</si>
  <si>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</si>
  <si>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</si>
  <si>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</si>
  <si>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</si>
  <si>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</si>
  <si>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</si>
  <si>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</si>
  <si>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</si>
  <si>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</si>
  <si>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</si>
  <si>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</si>
  <si>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</si>
  <si>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</si>
  <si>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</si>
  <si>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</si>
  <si>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</si>
  <si>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</si>
  <si>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</si>
  <si>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</si>
  <si>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</si>
  <si>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</si>
  <si>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</si>
  <si>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</si>
  <si>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</si>
  <si>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</si>
  <si>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</si>
  <si>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</si>
  <si>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</si>
  <si>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</si>
  <si>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</si>
  <si>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</si>
  <si>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</si>
  <si>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</si>
  <si>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</si>
  <si>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</si>
  <si>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</si>
  <si>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</si>
  <si>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</si>
  <si>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</si>
  <si>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</si>
  <si>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</si>
  <si>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</si>
  <si>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</si>
  <si>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</si>
  <si>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</si>
  <si>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</si>
  <si>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</si>
  <si>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</si>
  <si>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</si>
  <si>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</si>
  <si>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</si>
  <si>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</si>
  <si>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</si>
  <si>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</si>
  <si>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</si>
  <si>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</si>
  <si>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</si>
  <si>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</si>
  <si>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</si>
  <si>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</si>
  <si>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</si>
  <si>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</si>
  <si>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</si>
  <si>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</si>
  <si>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</si>
  <si>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</si>
  <si>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</si>
  <si>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</si>
  <si>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</si>
  <si>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</si>
  <si>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</si>
  <si>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</si>
  <si>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</si>
  <si>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</si>
  <si>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</si>
  <si>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</si>
  <si>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</si>
  <si>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</si>
  <si>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</si>
  <si>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</si>
  <si>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</si>
  <si>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</si>
  <si>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</si>
  <si>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</si>
  <si>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</si>
  <si>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</si>
  <si>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</si>
  <si>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</si>
  <si>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</si>
  <si>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</si>
  <si>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</si>
  <si>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</si>
  <si>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</si>
  <si>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</si>
  <si>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</si>
  <si>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</si>
  <si>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</si>
  <si>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</si>
  <si>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</si>
  <si>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</si>
  <si>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</si>
  <si>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</si>
  <si>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</si>
  <si>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</si>
  <si>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</si>
  <si>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</si>
  <si>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</si>
  <si>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</si>
  <si>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</si>
  <si>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</si>
  <si>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</si>
  <si>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</si>
  <si>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</si>
  <si>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</si>
  <si>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</si>
  <si>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</si>
  <si>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</si>
  <si>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</si>
  <si>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</si>
  <si>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</si>
  <si>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</si>
  <si>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</si>
  <si>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</si>
  <si>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</si>
  <si>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</si>
  <si>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</si>
  <si>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</si>
  <si>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</si>
  <si>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</si>
  <si>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</si>
  <si>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</si>
  <si>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</si>
  <si>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</si>
  <si>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</si>
  <si>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</si>
  <si>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</si>
  <si>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</si>
  <si>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</si>
  <si>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</si>
  <si>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</si>
  <si>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</si>
  <si>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</si>
  <si>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</si>
  <si>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</si>
  <si>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</si>
  <si>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</si>
  <si>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</si>
  <si>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</si>
  <si>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</si>
  <si>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</si>
  <si>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</si>
  <si>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</si>
  <si>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</si>
  <si>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</si>
  <si>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</si>
  <si>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</si>
  <si>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</si>
  <si>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</si>
  <si>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</si>
  <si>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</si>
  <si>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</si>
  <si>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</si>
  <si>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</si>
  <si>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</si>
  <si>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</si>
  <si>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</si>
  <si>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</si>
  <si>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</si>
  <si>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</si>
  <si>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</si>
  <si>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</si>
  <si>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</si>
  <si>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</si>
  <si>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</si>
  <si>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</si>
  <si>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</si>
  <si>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</si>
  <si>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</si>
  <si>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</si>
  <si>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</si>
  <si>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</si>
  <si>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</si>
  <si>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</si>
  <si>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</si>
  <si>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</si>
  <si>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</si>
  <si>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</si>
  <si>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</si>
  <si>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</si>
  <si>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</si>
  <si>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</si>
  <si>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</si>
  <si>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</si>
  <si>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</si>
  <si>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</si>
  <si>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</si>
  <si>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</si>
  <si>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</si>
  <si>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</si>
  <si>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</si>
  <si>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</si>
  <si>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</si>
  <si>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</si>
  <si>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</si>
  <si>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</si>
  <si>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</si>
  <si>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</si>
  <si>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</si>
  <si>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</si>
  <si>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</si>
  <si>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</si>
  <si>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</si>
  <si>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</si>
  <si>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</si>
  <si>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</si>
  <si>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</si>
  <si>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</si>
  <si>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</si>
  <si>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</si>
  <si>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</si>
  <si>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</si>
  <si>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</si>
  <si>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</si>
  <si>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</si>
  <si>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</si>
  <si>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</si>
  <si>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</si>
  <si>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</si>
  <si>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</si>
  <si>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</si>
  <si>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</si>
  <si>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</si>
  <si>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</si>
  <si>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</si>
  <si>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</si>
  <si>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</si>
  <si>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</si>
  <si>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</si>
  <si>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</si>
  <si>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</si>
  <si>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</si>
  <si>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</si>
  <si>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</si>
  <si>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</si>
  <si>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</si>
  <si>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</si>
  <si>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</si>
  <si>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</si>
  <si>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</si>
  <si>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</si>
  <si>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</si>
  <si>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</si>
  <si>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</si>
  <si>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</si>
  <si>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</si>
  <si>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</si>
  <si>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</si>
  <si>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</si>
  <si>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</si>
  <si>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</si>
  <si>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</si>
  <si>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</si>
  <si>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</si>
  <si>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</si>
  <si>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</si>
  <si>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</si>
  <si>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</si>
  <si>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</si>
  <si>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</si>
  <si>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</si>
  <si>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</si>
  <si>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</si>
  <si>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</si>
  <si>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</si>
  <si>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</si>
  <si>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</si>
  <si>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</si>
  <si>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</si>
  <si>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</si>
  <si>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</si>
  <si>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</si>
  <si>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</si>
  <si>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</si>
  <si>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</si>
  <si>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</si>
  <si>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</si>
  <si>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</si>
  <si>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</si>
  <si>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</si>
  <si>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</si>
  <si>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</si>
  <si>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</si>
  <si>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</si>
  <si>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</si>
  <si>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</si>
  <si>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</si>
  <si>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</si>
  <si>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</si>
  <si>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</si>
  <si>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</si>
  <si>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</si>
  <si>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</si>
  <si>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</si>
  <si>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</si>
  <si>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</si>
  <si>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</si>
  <si>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</si>
  <si>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</si>
  <si>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</si>
  <si>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</si>
  <si>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</si>
  <si>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</si>
  <si>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</si>
  <si>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</si>
  <si>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</si>
  <si>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</si>
  <si>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</si>
  <si>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</si>
  <si>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</si>
  <si>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</si>
  <si>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</si>
  <si>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</si>
  <si>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</si>
  <si>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</si>
  <si>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</si>
  <si>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</si>
  <si>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</si>
  <si>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</si>
  <si>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</si>
  <si>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</si>
  <si>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</si>
  <si>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</si>
  <si>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</si>
  <si>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</si>
  <si>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</si>
  <si>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</si>
  <si>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Column Labels</t>
  </si>
  <si>
    <t>(Multiple Items)</t>
  </si>
  <si>
    <t>Row Labels</t>
  </si>
  <si>
    <t>Sum of Profit</t>
  </si>
  <si>
    <t>Sum of Revenue</t>
  </si>
  <si>
    <t>Sum of Expenses</t>
  </si>
  <si>
    <t>Regions</t>
  </si>
  <si>
    <t>Average Profit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</si>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</sst>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numFmt numFmtId="168" formatCode="_ * #,##0_ ;_ * \-#,##0_ ;_ * &quot;-&quot;??_ ;_ @_ "/>
    </dxf>
    <dxf>
      <numFmt numFmtId="167" formatCode="_ * #,##0.0_ ;_ * \-#,##0.0_ ;_ * &quot;-&quot;??_ ;_ @_ "/>
    </dxf>
    <dxf>
      <numFmt numFmtId="168" formatCode="_ * #,##0_ ;_ * \-#,##0_ ;_ * &quot;-&quot;??_ ;_ @_ "/>
    </dxf>
    <dxf>
      <numFmt numFmtId="167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35" formatCode="_ * #,##0.00_ ;_ * \-#,##0.0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CCFF99"/>
      <color rgb="FFB4FF9F"/>
      <color rgb="FF66FF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[Dahboard 1.xlsx]Pivot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Profit By Payment Methods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0-4D61-B76D-2D1BDA2C35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2934832"/>
        <c:axId val="1642936080"/>
      </c:barChart>
      <c:catAx>
        <c:axId val="164293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936080"/>
        <c:crosses val="autoZero"/>
        <c:auto val="1"/>
        <c:lblAlgn val="ctr"/>
        <c:lblOffset val="100"/>
        <c:noMultiLvlLbl val="0"/>
      </c:catAx>
      <c:valAx>
        <c:axId val="1642936080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64293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[Dahboard 1.xlsx]Pivot 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</a:t>
            </a:r>
            <a:r>
              <a:rPr lang="en-US" b="1" i="1" u="sng" baseline="0">
                <a:solidFill>
                  <a:schemeClr val="tx1"/>
                </a:solidFill>
              </a:rPr>
              <a:t> By Product Line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0-4ED1-B2B3-905BB55E7A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52093728"/>
        <c:axId val="1552096640"/>
      </c:barChart>
      <c:catAx>
        <c:axId val="1552093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096640"/>
        <c:crosses val="autoZero"/>
        <c:auto val="1"/>
        <c:lblAlgn val="ctr"/>
        <c:lblOffset val="100"/>
        <c:noMultiLvlLbl val="0"/>
      </c:catAx>
      <c:valAx>
        <c:axId val="1552096640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5520937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[Dahboard 1.xlsx]Pivot 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sng">
                <a:solidFill>
                  <a:schemeClr val="tx1"/>
                </a:solidFill>
              </a:rPr>
              <a:t>Total</a:t>
            </a:r>
            <a:r>
              <a:rPr lang="en-IN" sz="1400" b="1" i="1" u="sng" baseline="0">
                <a:solidFill>
                  <a:schemeClr val="tx1"/>
                </a:solidFill>
              </a:rPr>
              <a:t> Expense/Revenue/Profit by Category</a:t>
            </a:r>
            <a:endParaRPr lang="en-IN" sz="14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999118274278216"/>
          <c:y val="0.25558370421088666"/>
          <c:w val="0.56141360454943134"/>
          <c:h val="0.54020523476232141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29-4D73-8606-34A1DD30EDCB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29-4D73-8606-34A1DD30EDCB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29-4D73-8606-34A1DD30EDC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478288"/>
        <c:axId val="1648478704"/>
      </c:lineChart>
      <c:catAx>
        <c:axId val="164847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478704"/>
        <c:crosses val="autoZero"/>
        <c:auto val="1"/>
        <c:lblAlgn val="ctr"/>
        <c:lblOffset val="100"/>
        <c:noMultiLvlLbl val="0"/>
      </c:catAx>
      <c:valAx>
        <c:axId val="1648478704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47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19209317585291"/>
          <c:y val="0.32739177764069816"/>
          <c:w val="0.22299540682414698"/>
          <c:h val="0.24041927623497192"/>
        </c:manualLayout>
      </c:layout>
      <c:overlay val="0"/>
      <c:spPr>
        <a:noFill/>
        <a:ln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[Dahboard 1.xlsx]Pivot 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No.</a:t>
            </a:r>
            <a:r>
              <a:rPr lang="en-US" b="1" i="1" u="sng" baseline="0">
                <a:solidFill>
                  <a:schemeClr val="tx1"/>
                </a:solidFill>
              </a:rPr>
              <a:t> of Transactions By Region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25"/>
              <c:y val="-0.33333333333333337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99342"/>
                    <a:gd name="adj2" fmla="val 22928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1111111111111109E-2"/>
              <c:y val="-0.222222222222222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4698130760451531E-2"/>
              <c:y val="-0.2407407407407407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1750505912704791E-2"/>
              <c:y val="-0.268518518518518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1.705237515225335E-2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75000"/>
                    <a:tint val="66000"/>
                    <a:satMod val="160000"/>
                  </a:schemeClr>
                </a:gs>
                <a:gs pos="50000">
                  <a:schemeClr val="accent2">
                    <a:lumMod val="75000"/>
                    <a:tint val="44500"/>
                    <a:satMod val="160000"/>
                  </a:schemeClr>
                </a:gs>
                <a:gs pos="100000">
                  <a:schemeClr val="accent2">
                    <a:lumMod val="75000"/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25"/>
                  <c:y val="-0.33333333333333337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99342"/>
                        <a:gd name="adj2" fmla="val 22928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2579-4199-A172-442F02909FD5}"/>
                </c:ext>
              </c:extLst>
            </c:dLbl>
            <c:dLbl>
              <c:idx val="1"/>
              <c:layout>
                <c:manualLayout>
                  <c:x val="6.1111111111111109E-2"/>
                  <c:y val="-0.2222222222222222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79-4199-A172-442F02909FD5}"/>
                </c:ext>
              </c:extLst>
            </c:dLbl>
            <c:dLbl>
              <c:idx val="2"/>
              <c:layout>
                <c:manualLayout>
                  <c:x val="4.4698130760451531E-2"/>
                  <c:y val="-0.2407407407407407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79-4199-A172-442F02909FD5}"/>
                </c:ext>
              </c:extLst>
            </c:dLbl>
            <c:dLbl>
              <c:idx val="3"/>
              <c:layout>
                <c:manualLayout>
                  <c:x val="6.1750505912704791E-2"/>
                  <c:y val="-0.2685185185185185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79-4199-A172-442F02909FD5}"/>
                </c:ext>
              </c:extLst>
            </c:dLbl>
            <c:dLbl>
              <c:idx val="4"/>
              <c:layout>
                <c:manualLayout>
                  <c:x val="-1.705237515225335E-2"/>
                  <c:y val="-0.23148148148148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579-4199-A172-442F02909FD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9-4199-A172-442F02909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095392"/>
        <c:axId val="1552094560"/>
      </c:areaChart>
      <c:catAx>
        <c:axId val="155209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094560"/>
        <c:crosses val="autoZero"/>
        <c:auto val="1"/>
        <c:lblAlgn val="ctr"/>
        <c:lblOffset val="100"/>
        <c:noMultiLvlLbl val="0"/>
      </c:catAx>
      <c:valAx>
        <c:axId val="1552094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5209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[Dahboard 1.xlsx]Pivot 5!PivotTable7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Avg</a:t>
            </a:r>
            <a:r>
              <a:rPr lang="en-US" b="1" i="1" u="sng" baseline="0">
                <a:solidFill>
                  <a:schemeClr val="tx1"/>
                </a:solidFill>
              </a:rPr>
              <a:t> Expense of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777777777777776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888-4174-92C6-3247902C21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2.7777777777777776E-2"/>
                  <c:y val="0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D888-4174-92C6-3247902C210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8-4174-92C6-3247902C2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[Dahboard 1.xlsx]Pivot 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Profit By Payment Methods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D-4ED5-A9AC-C988FD8915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2934832"/>
        <c:axId val="1642936080"/>
      </c:barChart>
      <c:catAx>
        <c:axId val="164293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936080"/>
        <c:crosses val="autoZero"/>
        <c:auto val="1"/>
        <c:lblAlgn val="ctr"/>
        <c:lblOffset val="100"/>
        <c:noMultiLvlLbl val="0"/>
      </c:catAx>
      <c:valAx>
        <c:axId val="1642936080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64293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[Dahboard 1.xlsx]Pivot 2!PivotTable4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</a:t>
            </a:r>
            <a:r>
              <a:rPr lang="en-US" b="1" i="1" u="sng" baseline="0">
                <a:solidFill>
                  <a:schemeClr val="tx1"/>
                </a:solidFill>
              </a:rPr>
              <a:t> By Product Line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1-47B4-A07D-9EEABF575D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52093728"/>
        <c:axId val="1552096640"/>
      </c:barChart>
      <c:catAx>
        <c:axId val="1552093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096640"/>
        <c:crosses val="autoZero"/>
        <c:auto val="1"/>
        <c:lblAlgn val="ctr"/>
        <c:lblOffset val="100"/>
        <c:noMultiLvlLbl val="0"/>
      </c:catAx>
      <c:valAx>
        <c:axId val="1552096640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5520937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[Dahboard 1.xlsx]Pivot 3!PivotTable5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sng">
                <a:solidFill>
                  <a:schemeClr val="tx1"/>
                </a:solidFill>
              </a:rPr>
              <a:t>Total</a:t>
            </a:r>
            <a:r>
              <a:rPr lang="en-IN" sz="1400" b="1" i="1" u="sng" baseline="0">
                <a:solidFill>
                  <a:schemeClr val="tx1"/>
                </a:solidFill>
              </a:rPr>
              <a:t> Expense/Revenue/Profit by Category</a:t>
            </a:r>
            <a:endParaRPr lang="en-IN" sz="14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999118274278216"/>
          <c:y val="0.25558370421088666"/>
          <c:w val="0.56141360454943134"/>
          <c:h val="0.54020523476232141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11-4702-8340-FFD9D8B36AAA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11-4702-8340-FFD9D8B36AAA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11-4702-8340-FFD9D8B36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478288"/>
        <c:axId val="1648478704"/>
      </c:lineChart>
      <c:catAx>
        <c:axId val="164847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478704"/>
        <c:crosses val="autoZero"/>
        <c:auto val="1"/>
        <c:lblAlgn val="ctr"/>
        <c:lblOffset val="100"/>
        <c:noMultiLvlLbl val="0"/>
      </c:catAx>
      <c:valAx>
        <c:axId val="1648478704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47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19209317585291"/>
          <c:y val="0.32739177764069816"/>
          <c:w val="0.22299540682414698"/>
          <c:h val="0.24041927623497192"/>
        </c:manualLayout>
      </c:layout>
      <c:overlay val="0"/>
      <c:spPr>
        <a:noFill/>
        <a:ln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[Dahboard 1.xlsx]Pivot 4!PivotTable6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No.</a:t>
            </a:r>
            <a:r>
              <a:rPr lang="en-US" b="1" i="1" u="sng" baseline="0">
                <a:solidFill>
                  <a:schemeClr val="tx1"/>
                </a:solidFill>
              </a:rPr>
              <a:t> of Transactions By Region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25"/>
              <c:y val="-0.33333333333333337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99342"/>
                    <a:gd name="adj2" fmla="val 22928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1111111111111109E-2"/>
              <c:y val="-0.222222222222222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4698130760451531E-2"/>
              <c:y val="-0.2407407407407407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1750505912704791E-2"/>
              <c:y val="-0.268518518518518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1.705237515225335E-2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25"/>
              <c:y val="-0.33333333333333337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99342"/>
                    <a:gd name="adj2" fmla="val 22928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1111111111111109E-2"/>
              <c:y val="-0.222222222222222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4698130760451531E-2"/>
              <c:y val="-0.2407407407407407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1750505912704791E-2"/>
              <c:y val="-0.268518518518518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1.705237515225335E-2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25"/>
              <c:y val="-0.33333333333333337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99342"/>
                    <a:gd name="adj2" fmla="val 22928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1111111111111109E-2"/>
              <c:y val="-0.222222222222222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4698130760451531E-2"/>
              <c:y val="-0.2407407407407407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1750505912704791E-2"/>
              <c:y val="-0.268518518518518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1.705237515225335E-2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75000"/>
                    <a:tint val="66000"/>
                    <a:satMod val="160000"/>
                  </a:schemeClr>
                </a:gs>
                <a:gs pos="50000">
                  <a:schemeClr val="accent2">
                    <a:lumMod val="75000"/>
                    <a:tint val="44500"/>
                    <a:satMod val="160000"/>
                  </a:schemeClr>
                </a:gs>
                <a:gs pos="100000">
                  <a:schemeClr val="accent2">
                    <a:lumMod val="75000"/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25"/>
                  <c:y val="-0.33333333333333337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99342"/>
                        <a:gd name="adj2" fmla="val 22928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3F7B-4AD7-85D4-5972B5439A7A}"/>
                </c:ext>
              </c:extLst>
            </c:dLbl>
            <c:dLbl>
              <c:idx val="1"/>
              <c:layout>
                <c:manualLayout>
                  <c:x val="6.1111111111111109E-2"/>
                  <c:y val="-0.2222222222222222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7B-4AD7-85D4-5972B5439A7A}"/>
                </c:ext>
              </c:extLst>
            </c:dLbl>
            <c:dLbl>
              <c:idx val="2"/>
              <c:layout>
                <c:manualLayout>
                  <c:x val="4.4698130760451531E-2"/>
                  <c:y val="-0.2407407407407407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7B-4AD7-85D4-5972B5439A7A}"/>
                </c:ext>
              </c:extLst>
            </c:dLbl>
            <c:dLbl>
              <c:idx val="3"/>
              <c:layout>
                <c:manualLayout>
                  <c:x val="6.1750505912704791E-2"/>
                  <c:y val="-0.2685185185185185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7B-4AD7-85D4-5972B5439A7A}"/>
                </c:ext>
              </c:extLst>
            </c:dLbl>
            <c:dLbl>
              <c:idx val="4"/>
              <c:layout>
                <c:manualLayout>
                  <c:x val="-1.705237515225335E-2"/>
                  <c:y val="-0.23148148148148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F7B-4AD7-85D4-5972B5439A7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7B-4AD7-85D4-5972B5439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095392"/>
        <c:axId val="1552094560"/>
      </c:areaChart>
      <c:catAx>
        <c:axId val="155209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094560"/>
        <c:crosses val="autoZero"/>
        <c:auto val="1"/>
        <c:lblAlgn val="ctr"/>
        <c:lblOffset val="100"/>
        <c:noMultiLvlLbl val="0"/>
      </c:catAx>
      <c:valAx>
        <c:axId val="1552094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5209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[Dahboard 1.xlsx]Pivot 5!PivotTable7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Avg</a:t>
            </a:r>
            <a:r>
              <a:rPr lang="en-US" b="1" i="1" u="sng" baseline="0">
                <a:solidFill>
                  <a:schemeClr val="tx1"/>
                </a:solidFill>
              </a:rPr>
              <a:t> Expense of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777777777777776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777777777777776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777777777777776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19-4174-9D8C-0E3E5F8457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19-4174-9D8C-0E3E5F8457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19-4174-9D8C-0E3E5F8457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419-4174-9D8C-0E3E5F8457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419-4174-9D8C-0E3E5F84571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419-4174-9D8C-0E3E5F84571B}"/>
              </c:ext>
            </c:extLst>
          </c:dPt>
          <c:dLbls>
            <c:dLbl>
              <c:idx val="1"/>
              <c:layout>
                <c:manualLayout>
                  <c:x val="2.7777777777777776E-2"/>
                  <c:y val="0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19-4174-9D8C-0E3E5F84571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419-4174-9D8C-0E3E5F845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6350</xdr:rowOff>
    </xdr:from>
    <xdr:to>
      <xdr:col>10</xdr:col>
      <xdr:colOff>0</xdr:colOff>
      <xdr:row>15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F0BB6D-E5E3-4832-AE10-414BF47C9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2</xdr:row>
      <xdr:rowOff>6350</xdr:rowOff>
    </xdr:from>
    <xdr:to>
      <xdr:col>12</xdr:col>
      <xdr:colOff>25400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83562-455D-465A-B75F-723FF5B85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603250</xdr:colOff>
      <xdr:row>1</xdr:row>
      <xdr:rowOff>177800</xdr:rowOff>
    </xdr:from>
    <xdr:to>
      <xdr:col>12</xdr:col>
      <xdr:colOff>603250</xdr:colOff>
      <xdr:row>15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8DFBE5-FC60-4E84-B856-738620B34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6350</xdr:rowOff>
    </xdr:from>
    <xdr:to>
      <xdr:col>11</xdr:col>
      <xdr:colOff>336550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697E58-A42B-42B3-9A24-029F91E8C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1</xdr:row>
      <xdr:rowOff>6350</xdr:rowOff>
    </xdr:from>
    <xdr:to>
      <xdr:col>10</xdr:col>
      <xdr:colOff>292100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D796F2-AF2A-4BD1-9E1F-077CD8F0C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267770</xdr:colOff>
      <xdr:row>6</xdr:row>
      <xdr:rowOff>39688</xdr:rowOff>
    </xdr:from>
    <xdr:to>
      <xdr:col>8</xdr:col>
      <xdr:colOff>217853</xdr:colOff>
      <xdr:row>23</xdr:row>
      <xdr:rowOff>29096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3B873A-0502-4FC4-A4B8-E09050B76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258367</xdr:colOff>
      <xdr:row>6</xdr:row>
      <xdr:rowOff>13229</xdr:rowOff>
    </xdr:from>
    <xdr:to>
      <xdr:col>18</xdr:col>
      <xdr:colOff>560885</xdr:colOff>
      <xdr:row>23</xdr:row>
      <xdr:rowOff>36182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BBE416-7CCA-4ED4-9B5F-81A15DC21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304271</xdr:colOff>
      <xdr:row>25</xdr:row>
      <xdr:rowOff>52401</xdr:rowOff>
    </xdr:from>
    <xdr:to>
      <xdr:col>13</xdr:col>
      <xdr:colOff>264583</xdr:colOff>
      <xdr:row>45</xdr:row>
      <xdr:rowOff>26458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B46E1F-F3C2-433D-8214-D564A917EB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554953</xdr:colOff>
      <xdr:row>6</xdr:row>
      <xdr:rowOff>26458</xdr:rowOff>
    </xdr:from>
    <xdr:to>
      <xdr:col>28</xdr:col>
      <xdr:colOff>246318</xdr:colOff>
      <xdr:row>22</xdr:row>
      <xdr:rowOff>174051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869A75-9A01-450D-BE74-4D725552B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500475</xdr:colOff>
      <xdr:row>25</xdr:row>
      <xdr:rowOff>83358</xdr:rowOff>
    </xdr:from>
    <xdr:to>
      <xdr:col>28</xdr:col>
      <xdr:colOff>224896</xdr:colOff>
      <xdr:row>45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8E723C6-AF05-47D4-A0E5-7120A5511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ee Kaur Dhiman FPB2426/054" refreshedDate="46104.678617592595" createdVersion="7" refreshedVersion="7" minRefreshableVersion="3" recordCount="2000" xr:uid="{1801CA19-4D10-4288-9ED7-562FC5B068F1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54BFB-B259-4228-B42B-ADF68EB0572B}" name="PivotTable1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Regions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h="1" x="0"/>
        <item t="default"/>
      </items>
    </pivotField>
    <pivotField showAll="0"/>
    <pivotField numFmtId="9" showAll="0"/>
  </pivotFields>
  <rowFields count="1">
    <field x="6"/>
  </rowFields>
  <rowItems count="6">
    <i>
      <x/>
    </i>
    <i>
      <x v="4"/>
    </i>
    <i>
      <x v="1"/>
    </i>
    <i>
      <x v="3"/>
    </i>
    <i>
      <x v="2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Average Profit" fld="4" subtotal="average" baseField="6" baseItem="3" numFmtId="168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83CA1-5916-4F7C-B37C-DF5CAA05137A}" name="PivotTable3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8"/>
  </dataFields>
  <formats count="1">
    <format dxfId="9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D4116-DBDD-43AD-80D0-A280B6AE0F06}" name="PivotTable4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8"/>
  </dataFields>
  <formats count="2">
    <format dxfId="8">
      <pivotArea collapsedLevelsAreSubtotals="1" fieldPosition="0">
        <references count="1">
          <reference field="8" count="1">
            <x v="0"/>
          </reference>
        </references>
      </pivotArea>
    </format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A7609-44A3-45BA-B1C1-11A509ABFE07}" name="PivotTable5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xpenses" fld="3" baseField="0" baseItem="0"/>
    <dataField name="Sum of Revenue" fld="2" baseField="0" baseItem="0"/>
    <dataField name="Sum of Profit" fld="4" baseField="0" baseItem="0"/>
  </dataFields>
  <formats count="1">
    <format dxfId="6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10773-BA56-4EB7-917C-7F8B352A15EB}" name="PivotTable6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488F1-5E7E-409D-ADCF-63A2D086E4B4}" name="PivotTable7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8"/>
  </dataFields>
  <formats count="1">
    <format dxfId="2">
      <pivotArea outline="0" collapsedLevelsAreSubtotals="1" fieldPosition="0"/>
    </format>
  </formats>
  <chartFormats count="2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6398-1D67-436E-B778-C21C32E8EC61}">
  <dimension ref="A1:G11"/>
  <sheetViews>
    <sheetView workbookViewId="0">
      <selection activeCell="A5" sqref="A5"/>
    </sheetView>
  </sheetViews>
  <sheetFormatPr defaultRowHeight="14.5" x14ac:dyDescent="0.35"/>
  <cols>
    <col min="1" max="1" width="17.26953125" bestFit="1" customWidth="1"/>
    <col min="2" max="2" width="16.453125" bestFit="1" customWidth="1"/>
    <col min="3" max="3" width="9.81640625" bestFit="1" customWidth="1"/>
    <col min="4" max="4" width="8.6328125" bestFit="1" customWidth="1"/>
    <col min="5" max="5" width="9.90625" bestFit="1" customWidth="1"/>
    <col min="6" max="6" width="8.36328125" bestFit="1" customWidth="1"/>
    <col min="7" max="7" width="10.7265625" bestFit="1" customWidth="1"/>
  </cols>
  <sheetData>
    <row r="1" spans="1:7" x14ac:dyDescent="0.35">
      <c r="A1" s="3" t="s">
        <v>9</v>
      </c>
      <c r="B1" t="s">
        <v>2039</v>
      </c>
    </row>
    <row r="2" spans="1:7" x14ac:dyDescent="0.35">
      <c r="A2" s="3" t="s">
        <v>7</v>
      </c>
      <c r="B2" t="s">
        <v>15</v>
      </c>
    </row>
    <row r="4" spans="1:7" x14ac:dyDescent="0.35">
      <c r="A4" s="3" t="s">
        <v>2045</v>
      </c>
      <c r="B4" s="3" t="s">
        <v>2038</v>
      </c>
    </row>
    <row r="5" spans="1:7" x14ac:dyDescent="0.35">
      <c r="A5" s="3" t="s">
        <v>2044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5">
      <c r="A6" s="4" t="s">
        <v>36</v>
      </c>
      <c r="B6" s="6">
        <v>8632.3333333333339</v>
      </c>
      <c r="C6" s="6">
        <v>23156</v>
      </c>
      <c r="D6" s="6">
        <v>28617.333333333332</v>
      </c>
      <c r="E6" s="6">
        <v>9409.625</v>
      </c>
      <c r="F6" s="6">
        <v>17572</v>
      </c>
      <c r="G6" s="6">
        <v>16221.478260869566</v>
      </c>
    </row>
    <row r="7" spans="1:7" x14ac:dyDescent="0.35">
      <c r="A7" s="4" t="s">
        <v>30</v>
      </c>
      <c r="B7" s="6"/>
      <c r="C7" s="6">
        <v>14976.333333333334</v>
      </c>
      <c r="D7" s="6">
        <v>12</v>
      </c>
      <c r="E7" s="6">
        <v>15759.8</v>
      </c>
      <c r="F7" s="6">
        <v>7358</v>
      </c>
      <c r="G7" s="6">
        <v>11919.09090909091</v>
      </c>
    </row>
    <row r="8" spans="1:7" x14ac:dyDescent="0.35">
      <c r="A8" s="4" t="s">
        <v>40</v>
      </c>
      <c r="B8" s="6"/>
      <c r="C8" s="6">
        <v>11820</v>
      </c>
      <c r="D8" s="6">
        <v>11650.5</v>
      </c>
      <c r="E8" s="6">
        <v>10370.5</v>
      </c>
      <c r="F8" s="6"/>
      <c r="G8" s="6">
        <v>10943.285714285714</v>
      </c>
    </row>
    <row r="9" spans="1:7" x14ac:dyDescent="0.35">
      <c r="A9" s="4" t="s">
        <v>26</v>
      </c>
      <c r="B9" s="6"/>
      <c r="C9" s="6">
        <v>15264</v>
      </c>
      <c r="D9" s="6">
        <v>-13286</v>
      </c>
      <c r="E9" s="6">
        <v>-131.77777777777777</v>
      </c>
      <c r="F9" s="6">
        <v>41820</v>
      </c>
      <c r="G9" s="6">
        <v>4452</v>
      </c>
    </row>
    <row r="10" spans="1:7" x14ac:dyDescent="0.35">
      <c r="A10" s="4" t="s">
        <v>14</v>
      </c>
      <c r="B10" s="6">
        <v>8958.6666666666661</v>
      </c>
      <c r="C10" s="6">
        <v>-576.66666666666663</v>
      </c>
      <c r="D10" s="6"/>
      <c r="E10" s="6">
        <v>1406</v>
      </c>
      <c r="F10" s="6"/>
      <c r="G10" s="6">
        <v>3494.75</v>
      </c>
    </row>
    <row r="11" spans="1:7" x14ac:dyDescent="0.35">
      <c r="A11" s="4" t="s">
        <v>2037</v>
      </c>
      <c r="B11" s="6">
        <v>8795.5</v>
      </c>
      <c r="C11" s="6">
        <v>14380.5</v>
      </c>
      <c r="D11" s="6">
        <v>11986.375</v>
      </c>
      <c r="E11" s="6">
        <v>7042.2857142857147</v>
      </c>
      <c r="F11" s="6">
        <v>19911</v>
      </c>
      <c r="G11" s="6">
        <v>10752.274193548386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opLeftCell="F1983" workbookViewId="0"/>
  </sheetViews>
  <sheetFormatPr defaultRowHeight="14.5" x14ac:dyDescent="0.35"/>
  <cols>
    <col min="1" max="1" width="15.54296875" customWidth="1"/>
    <col min="2" max="2" width="17.54296875" customWidth="1"/>
    <col min="3" max="3" width="11.90625" customWidth="1"/>
    <col min="4" max="4" width="11.36328125" customWidth="1"/>
    <col min="5" max="5" width="10.90625" customWidth="1"/>
    <col min="6" max="6" width="14.90625" customWidth="1"/>
    <col min="7" max="7" width="16.6328125" customWidth="1"/>
    <col min="8" max="8" width="14.6328125" customWidth="1"/>
    <col min="9" max="9" width="15.08984375" customWidth="1"/>
    <col min="10" max="10" width="18.81640625" customWidth="1"/>
    <col min="11" max="11" width="20" customWidth="1"/>
    <col min="12" max="12" width="13.089843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F794-F344-4F03-80CC-A5B54C8A13A4}">
  <dimension ref="A3:B8"/>
  <sheetViews>
    <sheetView workbookViewId="0">
      <selection activeCell="B16" sqref="B16"/>
    </sheetView>
  </sheetViews>
  <sheetFormatPr defaultRowHeight="14.5" x14ac:dyDescent="0.35"/>
  <cols>
    <col min="1" max="1" width="12.36328125" bestFit="1" customWidth="1"/>
    <col min="2" max="2" width="14" bestFit="1" customWidth="1"/>
  </cols>
  <sheetData>
    <row r="3" spans="1:2" x14ac:dyDescent="0.35">
      <c r="A3" s="3" t="s">
        <v>2040</v>
      </c>
      <c r="B3" t="s">
        <v>2041</v>
      </c>
    </row>
    <row r="4" spans="1:2" x14ac:dyDescent="0.35">
      <c r="A4" s="4" t="s">
        <v>24</v>
      </c>
      <c r="B4" s="6">
        <v>3629433</v>
      </c>
    </row>
    <row r="5" spans="1:2" x14ac:dyDescent="0.35">
      <c r="A5" s="4" t="s">
        <v>18</v>
      </c>
      <c r="B5" s="6">
        <v>9013666</v>
      </c>
    </row>
    <row r="6" spans="1:2" x14ac:dyDescent="0.35">
      <c r="A6" s="4" t="s">
        <v>33</v>
      </c>
      <c r="B6" s="6">
        <v>5030165</v>
      </c>
    </row>
    <row r="7" spans="1:2" x14ac:dyDescent="0.35">
      <c r="A7" s="4" t="s">
        <v>51</v>
      </c>
      <c r="B7" s="6">
        <v>2820265</v>
      </c>
    </row>
    <row r="8" spans="1:2" x14ac:dyDescent="0.35">
      <c r="A8" s="4" t="s">
        <v>2037</v>
      </c>
      <c r="B8" s="6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6F7DC-DDE3-4D4D-AC05-3ED06576F1AF}">
  <dimension ref="A3:B9"/>
  <sheetViews>
    <sheetView workbookViewId="0">
      <selection activeCell="P15" sqref="P15"/>
    </sheetView>
  </sheetViews>
  <sheetFormatPr defaultRowHeight="14.5" x14ac:dyDescent="0.35"/>
  <cols>
    <col min="1" max="1" width="12.36328125" bestFit="1" customWidth="1"/>
    <col min="2" max="2" width="15" bestFit="1" customWidth="1"/>
  </cols>
  <sheetData>
    <row r="3" spans="1:2" x14ac:dyDescent="0.35">
      <c r="A3" s="3" t="s">
        <v>2040</v>
      </c>
      <c r="B3" t="s">
        <v>2042</v>
      </c>
    </row>
    <row r="4" spans="1:2" x14ac:dyDescent="0.35">
      <c r="A4" s="4" t="s">
        <v>41</v>
      </c>
      <c r="B4" s="6">
        <v>8585057</v>
      </c>
    </row>
    <row r="5" spans="1:2" x14ac:dyDescent="0.35">
      <c r="A5" s="4" t="s">
        <v>27</v>
      </c>
      <c r="B5" s="6">
        <v>10199670</v>
      </c>
    </row>
    <row r="6" spans="1:2" x14ac:dyDescent="0.35">
      <c r="A6" s="4" t="s">
        <v>22</v>
      </c>
      <c r="B6" s="6">
        <v>5496803</v>
      </c>
    </row>
    <row r="7" spans="1:2" x14ac:dyDescent="0.35">
      <c r="A7" s="4" t="s">
        <v>31</v>
      </c>
      <c r="B7" s="6">
        <v>21863582</v>
      </c>
    </row>
    <row r="8" spans="1:2" x14ac:dyDescent="0.35">
      <c r="A8" s="4" t="s">
        <v>16</v>
      </c>
      <c r="B8" s="6">
        <v>7820463</v>
      </c>
    </row>
    <row r="9" spans="1:2" x14ac:dyDescent="0.35">
      <c r="A9" s="4" t="s">
        <v>2037</v>
      </c>
      <c r="B9" s="6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AC28E-F78D-4EF4-AD75-84ABCD34AA1A}">
  <dimension ref="A3:D9"/>
  <sheetViews>
    <sheetView workbookViewId="0">
      <selection activeCell="C5" sqref="C5"/>
    </sheetView>
  </sheetViews>
  <sheetFormatPr defaultRowHeight="14.5" x14ac:dyDescent="0.35"/>
  <cols>
    <col min="1" max="1" width="12.36328125" bestFit="1" customWidth="1"/>
    <col min="2" max="2" width="14.90625" bestFit="1" customWidth="1"/>
    <col min="3" max="3" width="14.36328125" bestFit="1" customWidth="1"/>
    <col min="4" max="4" width="11.81640625" bestFit="1" customWidth="1"/>
  </cols>
  <sheetData>
    <row r="3" spans="1:4" x14ac:dyDescent="0.35">
      <c r="A3" s="3" t="s">
        <v>2040</v>
      </c>
      <c r="B3" t="s">
        <v>2043</v>
      </c>
      <c r="C3" t="s">
        <v>2042</v>
      </c>
      <c r="D3" t="s">
        <v>2041</v>
      </c>
    </row>
    <row r="4" spans="1:4" x14ac:dyDescent="0.35">
      <c r="A4" s="4" t="s">
        <v>15</v>
      </c>
      <c r="B4" s="6">
        <v>3247742</v>
      </c>
      <c r="C4" s="6">
        <v>5399448</v>
      </c>
      <c r="D4" s="6">
        <v>2151706</v>
      </c>
    </row>
    <row r="5" spans="1:4" x14ac:dyDescent="0.35">
      <c r="A5" s="4" t="s">
        <v>35</v>
      </c>
      <c r="B5" s="6">
        <v>5417002</v>
      </c>
      <c r="C5" s="6">
        <v>8755912</v>
      </c>
      <c r="D5" s="6">
        <v>3338910</v>
      </c>
    </row>
    <row r="6" spans="1:4" x14ac:dyDescent="0.35">
      <c r="A6" s="4" t="s">
        <v>20</v>
      </c>
      <c r="B6" s="6">
        <v>4291785</v>
      </c>
      <c r="C6" s="6">
        <v>7058076</v>
      </c>
      <c r="D6" s="6">
        <v>2766291</v>
      </c>
    </row>
    <row r="7" spans="1:4" x14ac:dyDescent="0.35">
      <c r="A7" s="4" t="s">
        <v>13</v>
      </c>
      <c r="B7" s="6">
        <v>14381610</v>
      </c>
      <c r="C7" s="6">
        <v>22711986</v>
      </c>
      <c r="D7" s="6">
        <v>8330376</v>
      </c>
    </row>
    <row r="8" spans="1:4" x14ac:dyDescent="0.35">
      <c r="A8" s="4" t="s">
        <v>29</v>
      </c>
      <c r="B8" s="6">
        <v>6133907</v>
      </c>
      <c r="C8" s="6">
        <v>10040153</v>
      </c>
      <c r="D8" s="6">
        <v>3906246</v>
      </c>
    </row>
    <row r="9" spans="1:4" x14ac:dyDescent="0.35">
      <c r="A9" s="4" t="s">
        <v>2037</v>
      </c>
      <c r="B9" s="6">
        <v>33472046</v>
      </c>
      <c r="C9" s="6">
        <v>53965575</v>
      </c>
      <c r="D9" s="6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1D3B-D42E-493A-83EC-0B9C969C9DE9}">
  <dimension ref="A3:B9"/>
  <sheetViews>
    <sheetView workbookViewId="0">
      <selection activeCell="B18" sqref="B18"/>
    </sheetView>
  </sheetViews>
  <sheetFormatPr defaultRowHeight="14.5" x14ac:dyDescent="0.35"/>
  <cols>
    <col min="1" max="1" width="13" bestFit="1" customWidth="1"/>
    <col min="2" max="2" width="21.453125" bestFit="1" customWidth="1"/>
  </cols>
  <sheetData>
    <row r="3" spans="1:2" x14ac:dyDescent="0.35">
      <c r="A3" s="3" t="s">
        <v>2040</v>
      </c>
      <c r="B3" t="s">
        <v>2046</v>
      </c>
    </row>
    <row r="4" spans="1:2" x14ac:dyDescent="0.35">
      <c r="A4" s="4" t="s">
        <v>36</v>
      </c>
      <c r="B4" s="5">
        <v>818</v>
      </c>
    </row>
    <row r="5" spans="1:2" x14ac:dyDescent="0.35">
      <c r="A5" s="4" t="s">
        <v>40</v>
      </c>
      <c r="B5" s="5">
        <v>258</v>
      </c>
    </row>
    <row r="6" spans="1:2" x14ac:dyDescent="0.35">
      <c r="A6" s="4" t="s">
        <v>14</v>
      </c>
      <c r="B6" s="5">
        <v>314</v>
      </c>
    </row>
    <row r="7" spans="1:2" x14ac:dyDescent="0.35">
      <c r="A7" s="4" t="s">
        <v>26</v>
      </c>
      <c r="B7" s="5">
        <v>411</v>
      </c>
    </row>
    <row r="8" spans="1:2" x14ac:dyDescent="0.35">
      <c r="A8" s="4" t="s">
        <v>30</v>
      </c>
      <c r="B8" s="5">
        <v>199</v>
      </c>
    </row>
    <row r="9" spans="1:2" x14ac:dyDescent="0.35">
      <c r="A9" s="4" t="s">
        <v>2037</v>
      </c>
      <c r="B9" s="5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C307-2E5C-456F-ACD1-E3227E66D1DB}">
  <dimension ref="A3:B10"/>
  <sheetViews>
    <sheetView workbookViewId="0">
      <selection activeCell="M9" sqref="M9"/>
    </sheetView>
  </sheetViews>
  <sheetFormatPr defaultRowHeight="14.5" x14ac:dyDescent="0.35"/>
  <cols>
    <col min="1" max="1" width="12.36328125" bestFit="1" customWidth="1"/>
    <col min="2" max="2" width="18.08984375" bestFit="1" customWidth="1"/>
  </cols>
  <sheetData>
    <row r="3" spans="1:2" x14ac:dyDescent="0.35">
      <c r="A3" s="3" t="s">
        <v>2040</v>
      </c>
      <c r="B3" t="s">
        <v>2047</v>
      </c>
    </row>
    <row r="4" spans="1:2" x14ac:dyDescent="0.35">
      <c r="A4" s="4" t="s">
        <v>45</v>
      </c>
      <c r="B4" s="6">
        <v>15749.475903614459</v>
      </c>
    </row>
    <row r="5" spans="1:2" x14ac:dyDescent="0.35">
      <c r="A5" s="4" t="s">
        <v>15</v>
      </c>
      <c r="B5" s="6">
        <v>17351.541666666668</v>
      </c>
    </row>
    <row r="6" spans="1:2" x14ac:dyDescent="0.35">
      <c r="A6" s="4" t="s">
        <v>21</v>
      </c>
      <c r="B6" s="6">
        <v>16810.526576019776</v>
      </c>
    </row>
    <row r="7" spans="1:2" x14ac:dyDescent="0.35">
      <c r="A7" s="4" t="s">
        <v>35</v>
      </c>
      <c r="B7" s="6">
        <v>16478.297945205479</v>
      </c>
    </row>
    <row r="8" spans="1:2" x14ac:dyDescent="0.35">
      <c r="A8" s="4" t="s">
        <v>20</v>
      </c>
      <c r="B8" s="6">
        <v>17174.339449541283</v>
      </c>
    </row>
    <row r="9" spans="1:2" x14ac:dyDescent="0.35">
      <c r="A9" s="4" t="s">
        <v>29</v>
      </c>
      <c r="B9" s="6">
        <v>16627.71517027864</v>
      </c>
    </row>
    <row r="10" spans="1:2" x14ac:dyDescent="0.35">
      <c r="A10" s="4" t="s">
        <v>2037</v>
      </c>
      <c r="B10" s="6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6697F-6D9C-4869-ABEC-D249FBDC7B11}">
  <dimension ref="A1:AC5"/>
  <sheetViews>
    <sheetView showGridLines="0" tabSelected="1" topLeftCell="A22" zoomScale="68" workbookViewId="0">
      <selection activeCell="I53" sqref="I53"/>
    </sheetView>
  </sheetViews>
  <sheetFormatPr defaultRowHeight="14.5" x14ac:dyDescent="0.35"/>
  <sheetData>
    <row r="1" spans="1:29" ht="14.5" customHeight="1" x14ac:dyDescent="0.35">
      <c r="A1" s="7" t="s">
        <v>2048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14.5" customHeight="1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14.5" customHeight="1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4.5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</sheetData>
  <mergeCells count="1">
    <mergeCell ref="A1:AC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Data</vt:lpstr>
      <vt:lpstr>Pivot 1</vt:lpstr>
      <vt:lpstr>Pivot 2</vt:lpstr>
      <vt:lpstr>Pivot 3</vt:lpstr>
      <vt:lpstr>Pivot 4</vt:lpstr>
      <vt:lpstr>Pivot 5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Ashee Kaur Dhiman FPB2426/054</cp:lastModifiedBy>
  <dcterms:created xsi:type="dcterms:W3CDTF">2015-06-05T18:17:20Z</dcterms:created>
  <dcterms:modified xsi:type="dcterms:W3CDTF">2026-03-23T12:22:00Z</dcterms:modified>
</cp:coreProperties>
</file>